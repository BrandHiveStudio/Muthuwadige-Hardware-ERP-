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Inventory Stock" sheetId="2" r:id="rId2"/>
    <sheet name="Sales &amp; Invoices" sheetId="3" r:id="rId3"/>
    <sheet name="Credit Customers" sheetId="4" r:id="rId4"/>
    <sheet name="Sales Returns" sheetId="5" r:id="rId5"/>
    <sheet name="Accounting Ledger" sheetId="6" r:id="rId6"/>
    <sheet name="Customers" sheetId="7" r:id="rId7"/>
    <sheet name="Suppliers Directory" sheetId="8" r:id="rId8"/>
    <sheet name="Purchase Orders" sheetId="9" r:id="rId9"/>
    <sheet name="Stock Adjustments" sheetId="10" r:id="rId10"/>
    <sheet name="Quotations" sheetId="11" r:id="rId11"/>
    <sheet name="Employees" sheetId="12" r:id="rId12"/>
    <sheet name="User Profiles" sheetId="13" r:id="rId13"/>
    <sheet name="System Settings" sheetId="14" r:id="rId14"/>
    <sheet name="Branch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yyyy-mm-dd"/>
    <numFmt numFmtId="166" formatCode="yyyy-mm-dd"/>
  </numFmts>
  <fonts count="18" x14ac:knownFonts="1">
    <font>
      <sz val="11"/>
      <name val="Calibri"/>
    </font>
    <font>
      <sz val="11"/>
      <name val="Calibri"/>
    </font>
    <font>
      <sz val="18"/>
      <name val="Segoe UI"/>
      <b/>
      <color rgb="FFFFFF"/>
    </font>
    <font>
      <sz val="11"/>
      <name val="Segoe UI"/>
      <b/>
      <color rgb="FFFFFF"/>
    </font>
    <font>
      <sz val="11"/>
      <name val="Segoe UI"/>
      <color rgb="1E293B"/>
    </font>
    <font>
      <sz val="11"/>
      <name val="Segoe UI"/>
      <b/>
      <color rgb="1E1B4B"/>
    </font>
    <font>
      <sz val="12"/>
      <name val="Segoe UI"/>
      <b/>
      <color rgb="FFFFFF"/>
    </font>
    <font>
      <sz val="11"/>
      <name val="Segoe UI"/>
      <b/>
      <color rgb="1E1B4B"/>
    </font>
    <font>
      <sz val="11"/>
      <name val="Segoe UI"/>
      <b/>
      <color rgb="0F172A"/>
    </font>
    <font>
      <sz val="12"/>
      <name val="Segoe UI"/>
      <b/>
      <color rgb="0369A1"/>
    </font>
    <font>
      <sz val="12"/>
      <name val="Segoe UI"/>
      <b/>
      <color rgb="0369A1"/>
    </font>
    <font>
      <sz val="10"/>
      <name val="Segoe UI"/>
      <i/>
      <color rgb="475569"/>
    </font>
    <font>
      <sz val="11"/>
      <name val="Segoe UI"/>
      <b/>
      <color rgb="FFFFFF"/>
    </font>
    <font>
      <sz val="11"/>
      <name val="Segoe UI"/>
      <b/>
      <color rgb="FFFFFF"/>
    </font>
    <font>
      <sz val="11"/>
      <name val="Segoe UI"/>
      <b/>
      <color rgb="FFFFFF"/>
    </font>
    <font>
      <sz val="11"/>
      <name val="Segoe UI"/>
      <color rgb="1E293B"/>
    </font>
    <font>
      <sz val="11"/>
      <name val="Segoe UI"/>
      <color rgb="1E293B"/>
    </font>
    <font>
      <sz val="11"/>
      <name val="Segoe UI"/>
      <color rgb="1E293B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  <fill>
      <patternFill patternType="solid">
        <fgColor rgb="FF312E81"/>
        <bgColor/>
      </patternFill>
    </fill>
    <fill>
      <patternFill patternType="solid">
        <fgColor rgb="FFF3E8FF"/>
        <bgColor/>
      </patternFill>
    </fill>
    <fill>
      <patternFill patternType="solid">
        <fgColor rgb="FF312E81"/>
        <bgColor/>
      </patternFill>
    </fill>
    <fill>
      <patternFill patternType="solid">
        <fgColor rgb="FFF5F3FF"/>
        <bgColor/>
      </patternFill>
    </fill>
    <fill>
      <patternFill patternType="solid">
        <fgColor rgb="FFFFFFFF"/>
        <bgColor/>
      </patternFill>
    </fill>
    <fill>
      <patternFill patternType="solid">
        <fgColor rgb="FFE0F2FE"/>
        <bgColor/>
      </patternFill>
    </fill>
    <fill>
      <patternFill patternType="solid">
        <fgColor rgb="FFE0F2FE"/>
        <bgColor/>
      </patternFill>
    </fill>
    <fill>
      <patternFill patternType="solid">
        <fgColor rgb="FF1E3A8A"/>
        <bgColor/>
      </patternFill>
    </fill>
    <fill>
      <patternFill patternType="solid">
        <fgColor rgb="FFB8860B"/>
        <bgColor/>
      </patternFill>
    </fill>
    <fill>
      <patternFill patternType="solid">
        <fgColor rgb="FF991B1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C084FC"/>
      </left>
      <right style="thin">
        <color rgb="C084FC"/>
      </right>
      <top style="thin">
        <color rgb="C084FC"/>
      </top>
      <bottom style="thin">
        <color rgb="C084FC"/>
      </bottom>
      <diagonal/>
    </border>
    <border>
      <left style="thin">
        <color rgb="DDD6FE"/>
      </left>
      <right style="thin">
        <color rgb="DDD6FE"/>
      </right>
      <top style="thin">
        <color rgb="DDD6FE"/>
      </top>
      <bottom style="thin">
        <color rgb="DDD6FE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BAE6FD"/>
      </left>
      <right style="thin">
        <color rgb="BAE6FD"/>
      </right>
      <top style="thin">
        <color rgb="0284C7"/>
      </top>
      <bottom style="double">
        <color rgb="0369A1"/>
      </bottom>
      <diagonal/>
    </border>
    <border>
      <left style="thin">
        <color rgb="BAE6FD"/>
      </left>
      <right style="thin">
        <color rgb="BAE6FD"/>
      </right>
      <top style="thin">
        <color rgb="0284C7"/>
      </top>
      <bottom style="double">
        <color rgb="0369A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0F172A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0F172A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165" fontId="5" fillId="4" borderId="2" xfId="0" applyFont="1" applyFill="1" applyBorder="1" applyNumberFormat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4" fontId="8" fillId="7" borderId="4" xfId="0" applyFont="1" applyFill="1" applyBorder="1" applyNumberFormat="1" applyAlignment="1">
      <alignment horizontal="right" vertical="center"/>
    </xf>
    <xf numFmtId="0" fontId="9" fillId="8" borderId="5" xfId="0" applyFont="1" applyFill="1" applyBorder="1" applyAlignment="1">
      <alignment horizontal="left" vertical="center"/>
    </xf>
    <xf numFmtId="4" fontId="10" fillId="9" borderId="6" xfId="0" applyFont="1" applyFill="1" applyBorder="1" applyNumberForma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2" fillId="10" borderId="7" xfId="0" applyFont="1" applyFill="1" applyBorder="1" applyAlignment="1">
      <alignment horizontal="center" vertical="center" wrapText="true"/>
    </xf>
    <xf numFmtId="0" fontId="13" fillId="11" borderId="8" xfId="0" applyFont="1" applyFill="1" applyBorder="1" applyAlignment="1">
      <alignment horizontal="center" vertical="center" wrapText="true"/>
    </xf>
    <xf numFmtId="0" fontId="14" fillId="12" borderId="9" xfId="0" applyFont="1" applyFill="1" applyBorder="1" applyAlignment="1">
      <alignment horizontal="center" vertical="center" wrapText="true"/>
    </xf>
    <xf numFmtId="0" fontId="15" fillId="13" borderId="10" xfId="0" applyFont="1" applyFill="1" applyBorder="1" applyAlignment="1">
      <alignment horizontal="left" vertical="center"/>
    </xf>
    <xf numFmtId="166" fontId="16" fillId="14" borderId="11" xfId="0" applyFont="1" applyFill="1" applyBorder="1" applyNumberFormat="1" applyAlignment="1">
      <alignment horizontal="center" vertical="center"/>
    </xf>
    <xf numFmtId="0" fontId="17" fillId="15" borderId="12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34.83203125" customWidth="1"/>
    <col min="2" max="2" width="24.83203125" customWidth="1"/>
    <col min="3" max="3" width="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 ht="36" customHeight="1">
      <c r="A1" s="3" t="str">
        <v>MUTHUWADIGE HARDWARE - BUSINESS &amp; ACCOUNTING BACKUP REPORT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</row>
    <row r="2" ht="36" customHeight="1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</row>
    <row r="3" ht="24" customHeight="1">
      <c r="A3" s="4" t="str">
        <v>Report Start Date</v>
      </c>
      <c r="B3" s="4" t="str">
        <v>Report End Date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</row>
    <row r="4" ht="24" customHeight="1">
      <c r="A4" s="6">
        <v>46235</v>
      </c>
      <c r="B4" s="6">
        <v>46265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  <c r="I4" s="5" t="str">
        <v/>
      </c>
    </row>
    <row r="5" ht="24" customHeight="1">
      <c r="A5" s="5" t="str">
        <v/>
      </c>
      <c r="B5" s="5" t="str">
        <v/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  <c r="I5" s="5" t="str">
        <v/>
      </c>
    </row>
    <row r="6" ht="24" customHeight="1">
      <c r="A6" s="7" t="str">
        <v>KEY BUSINESS METRICS (ERP SUMMARY)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</row>
    <row r="7" ht="24" customHeight="1">
      <c r="A7" s="8" t="str">
        <v>Total Sales Revenue</v>
      </c>
      <c r="B7" s="9">
        <f>SUMIFS('Sales &amp; Invoices'!G:G, 'Sales &amp; Invoices'!L:L, "&gt;="&amp;A4, 'Sales &amp; Invoices'!L:L, "&lt;="&amp;B4, 'Sales &amp; Invoices'!J:J, "&lt;&gt;CANCELLED")</f>
        <v>0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  <c r="I7" s="5" t="str">
        <v/>
      </c>
    </row>
    <row r="8" ht="24" customHeight="1">
      <c r="A8" s="8" t="str">
        <v>Cash Received</v>
      </c>
      <c r="B8" s="9">
        <f>B7-B9</f>
        <v>0</v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  <c r="I8" s="5" t="str">
        <v/>
      </c>
    </row>
    <row r="9" ht="24" customHeight="1">
      <c r="A9" s="8" t="str">
        <v>Customer Credit Outstanding</v>
      </c>
      <c r="B9" s="9">
        <f>SUMIFS('Sales &amp; Invoices'!I:I, 'Sales &amp; Invoices'!L:L, "&gt;="&amp;A4, 'Sales &amp; Invoices'!L:L, "&lt;="&amp;B4, 'Sales &amp; Invoices'!J:J, "&lt;&gt;CANCELLED")</f>
        <v>0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  <c r="I9" s="5" t="str">
        <v/>
      </c>
    </row>
    <row r="10" ht="24" customHeight="1">
      <c r="A10" s="8" t="str">
        <v>Total Purchases</v>
      </c>
      <c r="B10" s="9">
        <f>SUMIFS('Purchase Orders'!D:D, 'Purchase Orders'!G:G, "&gt;="&amp;A4, 'Purchase Orders'!G:G, "&lt;="&amp;B4, 'Purchase Orders'!E:E, "&lt;&gt;CANCELLED")</f>
        <v>0</v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  <c r="I10" s="5" t="str">
        <v/>
      </c>
    </row>
    <row r="11" ht="24" customHeight="1">
      <c r="A11" s="8" t="str">
        <v>Net Profit</v>
      </c>
      <c r="B11" s="9">
        <f>B7-SUMIFS('Sales &amp; Invoices'!O:O, 'Sales &amp; Invoices'!L:L, "&gt;="&amp;A4, 'Sales &amp; Invoices'!L:L, "&lt;="&amp;B4, 'Sales &amp; Invoices'!J:J, "&lt;&gt;CANCELLED")</f>
        <v>0</v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  <c r="I11" s="5" t="str">
        <v/>
      </c>
    </row>
    <row r="12" ht="24" customHeight="1">
      <c r="A12" s="8" t="str">
        <v>Total Stock Value</v>
      </c>
      <c r="B12" s="9">
        <f>SUM('Inventory Stock'!I:I)</f>
        <v>0</v>
      </c>
      <c r="C12" s="5" t="str">
        <v/>
      </c>
      <c r="D12" s="5" t="str">
        <v/>
      </c>
      <c r="E12" s="5" t="str">
        <v/>
      </c>
      <c r="F12" s="5" t="str">
        <v/>
      </c>
      <c r="G12" s="5" t="str">
        <v/>
      </c>
      <c r="H12" s="5" t="str">
        <v/>
      </c>
      <c r="I12" s="5" t="str">
        <v/>
      </c>
    </row>
    <row r="13" ht="24" customHeight="1">
      <c r="A13" s="5" t="str">
        <v/>
      </c>
      <c r="B13" s="5" t="str">
        <v/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</row>
    <row r="14" ht="24" customHeight="1">
      <c r="A14" s="7" t="str">
        <v>PAYMENT METHOD BREAKDOWN</v>
      </c>
      <c r="B14" s="7" t="str">
        <v/>
      </c>
      <c r="C14" s="7" t="str">
        <v/>
      </c>
      <c r="D14" s="7" t="str">
        <v/>
      </c>
      <c r="E14" s="7" t="str">
        <v/>
      </c>
      <c r="F14" s="7" t="str">
        <v/>
      </c>
      <c r="G14" s="7" t="str">
        <v/>
      </c>
      <c r="H14" s="7" t="str">
        <v/>
      </c>
      <c r="I14" s="7" t="str">
        <v/>
      </c>
    </row>
    <row r="15" ht="24" customHeight="1">
      <c r="A15" s="8" t="str">
        <v>Cash Amount</v>
      </c>
      <c r="B15" s="9">
        <v>0</v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</row>
    <row r="16" ht="24" customHeight="1">
      <c r="A16" s="8" t="str">
        <v>Card Amount</v>
      </c>
      <c r="B16" s="9">
        <v>0</v>
      </c>
      <c r="C16" s="5" t="str">
        <v/>
      </c>
      <c r="D16" s="5" t="str">
        <v/>
      </c>
      <c r="E16" s="5" t="str">
        <v/>
      </c>
      <c r="F16" s="5" t="str">
        <v/>
      </c>
      <c r="G16" s="5" t="str">
        <v/>
      </c>
      <c r="H16" s="5" t="str">
        <v/>
      </c>
      <c r="I16" s="5" t="str">
        <v/>
      </c>
    </row>
    <row r="17" ht="24" customHeight="1">
      <c r="A17" s="8" t="str">
        <v>Credit Amount</v>
      </c>
      <c r="B17" s="9">
        <v>0</v>
      </c>
      <c r="C17" s="5" t="str">
        <v/>
      </c>
      <c r="D17" s="5" t="str">
        <v/>
      </c>
      <c r="E17" s="5" t="str">
        <v/>
      </c>
      <c r="F17" s="5" t="str">
        <v/>
      </c>
      <c r="G17" s="5" t="str">
        <v/>
      </c>
      <c r="H17" s="5" t="str">
        <v/>
      </c>
      <c r="I17" s="5" t="str">
        <v/>
      </c>
    </row>
    <row r="18" ht="24" customHeight="1">
      <c r="A18" s="8" t="str">
        <v>Bank Transfer Amount</v>
      </c>
      <c r="B18" s="9">
        <v>0</v>
      </c>
      <c r="C18" s="5" t="str">
        <v/>
      </c>
      <c r="D18" s="5" t="str">
        <v/>
      </c>
      <c r="E18" s="5" t="str">
        <v/>
      </c>
      <c r="F18" s="5" t="str">
        <v/>
      </c>
      <c r="G18" s="5" t="str">
        <v/>
      </c>
      <c r="H18" s="5" t="str">
        <v/>
      </c>
      <c r="I18" s="5" t="str">
        <v/>
      </c>
    </row>
    <row r="19" ht="24" customHeight="1">
      <c r="A19" s="10" t="str">
        <v>Total Payment Methods</v>
      </c>
      <c r="B19" s="11">
        <f>SUM(B15:B18)</f>
        <v>0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  <c r="I19" s="5" t="str">
        <v/>
      </c>
    </row>
    <row r="20" ht="24" customHeight="1">
      <c r="A20" s="5" t="str">
        <v/>
      </c>
      <c r="B20" s="5" t="str">
        <v/>
      </c>
      <c r="C20" s="5" t="str">
        <v/>
      </c>
      <c r="D20" s="5" t="str">
        <v/>
      </c>
      <c r="E20" s="5" t="str">
        <v/>
      </c>
      <c r="F20" s="5" t="str">
        <v/>
      </c>
      <c r="G20" s="5" t="str">
        <v/>
      </c>
      <c r="H20" s="5" t="str">
        <v/>
      </c>
      <c r="I20" s="5" t="str">
        <v/>
      </c>
    </row>
    <row r="21" ht="24" customHeight="1">
      <c r="A21" s="7" t="str">
        <v>REMARKS &amp; USEFUL NOTES</v>
      </c>
      <c r="B21" s="7" t="str">
        <v/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 t="str">
        <v/>
      </c>
      <c r="I21" s="7" t="str">
        <v/>
      </c>
    </row>
    <row r="22" ht="24" customHeight="1">
      <c r="A22" s="12" t="str">
        <v>• Sales sheet contains daily invoices, customer payments, and payment methods.</v>
      </c>
      <c r="B22" s="12" t="str">
        <v/>
      </c>
      <c r="C22" s="12" t="str">
        <v/>
      </c>
      <c r="D22" s="12" t="str">
        <v/>
      </c>
      <c r="E22" s="12" t="str">
        <v/>
      </c>
      <c r="F22" s="12" t="str">
        <v/>
      </c>
      <c r="G22" s="12" t="str">
        <v/>
      </c>
      <c r="H22" s="12" t="str">
        <v/>
      </c>
      <c r="I22" s="12" t="str">
        <v/>
      </c>
    </row>
    <row r="23" ht="24" customHeight="1">
      <c r="A23" s="12" t="str">
        <v>• Inventory Stock sheet provides real-time stock quantities and market valuations.</v>
      </c>
      <c r="B23" s="12" t="str">
        <v/>
      </c>
      <c r="C23" s="12" t="str">
        <v/>
      </c>
      <c r="D23" s="12" t="str">
        <v/>
      </c>
      <c r="E23" s="12" t="str">
        <v/>
      </c>
      <c r="F23" s="12" t="str">
        <v/>
      </c>
      <c r="G23" s="12" t="str">
        <v/>
      </c>
      <c r="H23" s="12" t="str">
        <v/>
      </c>
      <c r="I23" s="12" t="str">
        <v/>
      </c>
    </row>
    <row r="24" ht="24" customHeight="1">
      <c r="A24" s="12" t="str">
        <v>• Accounting Ledger contains all business expense and income transaction records.</v>
      </c>
      <c r="B24" s="12" t="str">
        <v/>
      </c>
      <c r="C24" s="12" t="str">
        <v/>
      </c>
      <c r="D24" s="12" t="str">
        <v/>
      </c>
      <c r="E24" s="12" t="str">
        <v/>
      </c>
      <c r="F24" s="12" t="str">
        <v/>
      </c>
      <c r="G24" s="12" t="str">
        <v/>
      </c>
      <c r="H24" s="12" t="str">
        <v/>
      </c>
      <c r="I24" s="12" t="str">
        <v/>
      </c>
    </row>
    <row r="25" ht="24" customHeight="1">
      <c r="A25" s="12" t="str">
        <v>• Report figures are generated directly from Muthuwadige Hardware ERP.</v>
      </c>
      <c r="B25" s="12" t="str">
        <v/>
      </c>
      <c r="C25" s="12" t="str">
        <v/>
      </c>
      <c r="D25" s="12" t="str">
        <v/>
      </c>
      <c r="E25" s="12" t="str">
        <v/>
      </c>
      <c r="F25" s="12" t="str">
        <v/>
      </c>
      <c r="G25" s="12" t="str">
        <v/>
      </c>
      <c r="H25" s="12" t="str">
        <v/>
      </c>
      <c r="I25" s="12" t="str">
        <v/>
      </c>
    </row>
  </sheetData>
  <mergeCells count="8">
    <mergeCell ref="A1:I2"/>
    <mergeCell ref="A6:I6"/>
    <mergeCell ref="A14:I14"/>
    <mergeCell ref="A21:I21"/>
    <mergeCell ref="A22:I22"/>
    <mergeCell ref="A23:I23"/>
    <mergeCell ref="A24:I24"/>
    <mergeCell ref="A25:I25"/>
  </mergeCells>
  <ignoredErrors>
    <ignoredError numberStoredAsText="1" sqref="A1: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6.83203125" customWidth="1"/>
    <col min="2" max="2" width="16.83203125" customWidth="1"/>
    <col min="3" max="3" width="29.83203125" customWidth="1"/>
    <col min="4" max="4" width="27.83203125" customWidth="1"/>
    <col min="5" max="5" width="25.83203125" customWidth="1"/>
    <col min="6" max="6" width="22.83203125" customWidth="1"/>
    <col min="7" max="7" width="16.83203125" customWidth="1"/>
    <col min="8" max="8" width="21.83203125" customWidth="1"/>
    <col min="9" max="9" width="28.83203125" customWidth="1"/>
    <col min="10" max="10" width="30.83203125" customWidth="1"/>
  </cols>
  <sheetData>
    <row r="1" ht="28" customHeight="1">
      <c r="A1" s="13" t="str">
        <v>Item Name</v>
      </c>
      <c r="B1" s="13" t="str">
        <v>Category</v>
      </c>
      <c r="C1" s="13" t="str">
        <v>Base Retail Price (Rs.)</v>
      </c>
      <c r="D1" s="13" t="str">
        <v>Base Cost Price (Rs.)</v>
      </c>
      <c r="E1" s="13" t="str">
        <v>Current Stock Level</v>
      </c>
      <c r="F1" s="13" t="str">
        <v>Measurement Unit</v>
      </c>
      <c r="G1" s="13" t="str">
        <v>Brand</v>
      </c>
      <c r="H1" s="13" t="str">
        <v>Supplier Entity</v>
      </c>
      <c r="I1" s="13" t="str">
        <v>Total Cost Value (Rs.)</v>
      </c>
      <c r="J1" s="13" t="str">
        <v>Total Market Value (Rs.)</v>
      </c>
    </row>
  </sheetData>
  <ignoredErrors>
    <ignoredError numberStoredAsText="1" sqref="A1:J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20.83203125" customWidth="1"/>
    <col min="2" max="2" width="19.83203125" customWidth="1"/>
    <col min="3" max="3" width="19.83203125" customWidth="1"/>
    <col min="4" max="4" width="20.83203125" customWidth="1"/>
    <col min="5" max="5" width="20.83203125" customWidth="1"/>
    <col min="6" max="6" width="22.83203125" customWidth="1"/>
    <col min="7" max="7" width="24.83203125" customWidth="1"/>
    <col min="8" max="8" width="28.83203125" customWidth="1"/>
    <col min="9" max="9" width="31.83203125" customWidth="1"/>
    <col min="10" max="10" width="20.83203125" customWidth="1"/>
    <col min="11" max="11" width="20.83203125" customWidth="1"/>
    <col min="12" max="12" width="26.83203125" customWidth="1"/>
    <col min="13" max="13" width="16.83203125" customWidth="1"/>
    <col min="14" max="14" width="26.83203125" customWidth="1"/>
    <col min="15" max="15" width="30.83203125" customWidth="1"/>
  </cols>
  <sheetData>
    <row r="1" ht="28" customHeight="1">
      <c r="A1" s="13" t="str">
        <v>Invoice Number</v>
      </c>
      <c r="B1" s="13" t="str">
        <v>Customer Name</v>
      </c>
      <c r="C1" s="13" t="str">
        <v>Products Sold</v>
      </c>
      <c r="D1" s="13" t="str">
        <v>Subtotal (Rs.)</v>
      </c>
      <c r="E1" s="13" t="str">
        <v>Discount (Rs.)</v>
      </c>
      <c r="F1" s="13" t="str">
        <v>Tax Amount (Rs.)</v>
      </c>
      <c r="G1" s="13" t="str">
        <v>Total Amount (Rs.)</v>
      </c>
      <c r="H1" s="13" t="str">
        <v>Payment Received (Rs.)</v>
      </c>
      <c r="I1" s="13" t="str">
        <v>Outstanding Balance (Rs.)</v>
      </c>
      <c r="J1" s="13" t="str">
        <v>Payment Status</v>
      </c>
      <c r="K1" s="13" t="str">
        <v>Payment Method</v>
      </c>
      <c r="L1" s="13" t="str">
        <v>Checkout Date &amp; Time</v>
      </c>
      <c r="M1" s="13" t="str">
        <v>Due Date</v>
      </c>
      <c r="N1" s="13" t="str">
        <v>Credit Period (Days)</v>
      </c>
      <c r="O1" s="13" t="str">
        <v>Cost of Goods Sold (Rs.)</v>
      </c>
    </row>
  </sheetData>
  <ignoredErrors>
    <ignoredError numberStoredAsText="1" sqref="A1:O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6.83203125" customWidth="1"/>
    <col min="2" max="2" width="20.83203125" customWidth="1"/>
    <col min="3" max="3" width="18.83203125" customWidth="1"/>
    <col min="4" max="4" width="20.83203125" customWidth="1"/>
    <col min="5" max="5" width="17.83203125" customWidth="1"/>
    <col min="6" max="6" width="24.83203125" customWidth="1"/>
    <col min="7" max="7" width="16.83203125" customWidth="1"/>
    <col min="8" max="8" width="20.83203125" customWidth="1"/>
    <col min="9" max="9" width="21.83203125" customWidth="1"/>
    <col min="10" max="10" width="23.83203125" customWidth="1"/>
    <col min="11" max="11" width="19.83203125" customWidth="1"/>
  </cols>
  <sheetData>
    <row r="1" ht="28" customHeight="1">
      <c r="A1" s="14" t="str">
        <v>Customer</v>
      </c>
      <c r="B1" s="14" t="str">
        <v>Invoice Number</v>
      </c>
      <c r="C1" s="14" t="str">
        <v>Invoice Date</v>
      </c>
      <c r="D1" s="14" t="str">
        <v>Invoice Amount</v>
      </c>
      <c r="E1" s="14" t="str">
        <v>Amount Paid</v>
      </c>
      <c r="F1" s="14" t="str">
        <v>Outstanding Amount</v>
      </c>
      <c r="G1" s="14" t="str">
        <v>Due Date</v>
      </c>
      <c r="H1" s="14" t="str">
        <v>Payment Status</v>
      </c>
      <c r="I1" s="14" t="str">
        <v>Payment History</v>
      </c>
      <c r="J1" s="14" t="str">
        <v>Total Outstanding</v>
      </c>
      <c r="K1" s="14" t="str">
        <v>Total Overdue</v>
      </c>
    </row>
  </sheetData>
  <ignoredErrors>
    <ignoredError numberStoredAsText="1" sqref="A1:K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6.83203125" customWidth="1"/>
    <col min="2" max="2" width="29.83203125" customWidth="1"/>
    <col min="3" max="3" width="17.83203125" customWidth="1"/>
    <col min="4" max="4" width="16.83203125" customWidth="1"/>
    <col min="5" max="5" width="17.83203125" customWidth="1"/>
    <col min="6" max="6" width="16.83203125" customWidth="1"/>
    <col min="7" max="7" width="16.83203125" customWidth="1"/>
    <col min="8" max="8" width="19.83203125" customWidth="1"/>
    <col min="9" max="9" width="27.83203125" customWidth="1"/>
    <col min="10" max="10" width="20.83203125" customWidth="1"/>
    <col min="11" max="11" width="40.83203125" customWidth="1"/>
    <col min="12" max="12" width="24.83203125" customWidth="1"/>
    <col min="13" max="13" width="16.83203125" customWidth="1"/>
    <col min="14" max="14" width="42.83203125" customWidth="1"/>
    <col min="15" max="15" width="16.83203125" customWidth="1"/>
  </cols>
  <sheetData>
    <row r="1" ht="28" customHeight="1">
      <c r="A1" s="15" t="str">
        <v>Return ID</v>
      </c>
      <c r="B1" s="15" t="str">
        <v>Original Invoice Number</v>
      </c>
      <c r="C1" s="15" t="str">
        <v>Return Date</v>
      </c>
      <c r="D1" s="15" t="str">
        <v>Customer</v>
      </c>
      <c r="E1" s="15" t="str">
        <v>Return Type</v>
      </c>
      <c r="F1" s="15" t="str">
        <v>Product</v>
      </c>
      <c r="G1" s="15" t="str">
        <v>Quantity</v>
      </c>
      <c r="H1" s="15" t="str">
        <v>Return Amount</v>
      </c>
      <c r="I1" s="15" t="str">
        <v>Payment/Refund Amount</v>
      </c>
      <c r="J1" s="15" t="str">
        <v>Payment Method</v>
      </c>
      <c r="K1" s="15" t="str">
        <v>Replacement Product (for Exchange)</v>
      </c>
      <c r="L1" s="15" t="str">
        <v>Replacement Amount</v>
      </c>
      <c r="M1" s="15" t="str">
        <v>Difference</v>
      </c>
      <c r="N1" s="15" t="str">
        <v>Credit Note Number (for Credit Note)</v>
      </c>
      <c r="O1" s="15" t="str">
        <v>Notes</v>
      </c>
    </row>
  </sheetData>
  <ignoredErrors>
    <ignoredError numberStoredAsText="1" sqref="A1:O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7.83203125" customWidth="1"/>
    <col min="2" max="2" width="16.83203125" customWidth="1"/>
    <col min="3" max="3" width="22.83203125" customWidth="1"/>
    <col min="4" max="4" width="25.83203125" customWidth="1"/>
    <col min="5" max="5" width="28.83203125" customWidth="1"/>
    <col min="6" max="6" width="29.83203125" customWidth="1"/>
    <col min="7" max="7" width="21.83203125" customWidth="1"/>
  </cols>
  <sheetData>
    <row r="1" ht="28" customHeight="1">
      <c r="A1" s="13" t="str">
        <v>Record Date</v>
      </c>
      <c r="B1" s="13" t="str">
        <v>Flow Type</v>
      </c>
      <c r="C1" s="13" t="str">
        <v>Finance Category</v>
      </c>
      <c r="D1" s="13" t="str">
        <v>Description Details</v>
      </c>
      <c r="E1" s="13" t="str">
        <v>Reference Invoice / PO</v>
      </c>
      <c r="F1" s="13" t="str">
        <v>Transaction Value (Rs.)</v>
      </c>
      <c r="G1" s="13" t="str">
        <v>System Log Date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9.83203125" customWidth="1"/>
    <col min="2" max="2" width="16.83203125" customWidth="1"/>
    <col min="3" max="3" width="18.83203125" customWidth="1"/>
    <col min="4" max="4" width="16.83203125" customWidth="1"/>
    <col min="5" max="5" width="16.83203125" customWidth="1"/>
    <col min="6" max="6" width="20.83203125" customWidth="1"/>
    <col min="7" max="7" width="27.83203125" customWidth="1"/>
    <col min="8" max="8" width="21.83203125" customWidth="1"/>
  </cols>
  <sheetData>
    <row r="1" ht="28" customHeight="1">
      <c r="A1" s="13" t="str">
        <v>Customer Name</v>
      </c>
      <c r="B1" s="13" t="str">
        <v>Email</v>
      </c>
      <c r="C1" s="13" t="str">
        <v>Phone Number</v>
      </c>
      <c r="D1" s="13" t="str">
        <v>Address</v>
      </c>
      <c r="E1" s="13" t="str">
        <v>NIC Number</v>
      </c>
      <c r="F1" s="13" t="str">
        <v>Loyalty Points</v>
      </c>
      <c r="G1" s="13" t="str">
        <v>Total Purchases (Rs.)</v>
      </c>
      <c r="H1" s="13" t="str">
        <v>Registered Date</v>
      </c>
    </row>
  </sheetData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9.83203125" customWidth="1"/>
    <col min="2" max="2" width="19.83203125" customWidth="1"/>
    <col min="3" max="3" width="18.83203125" customWidth="1"/>
    <col min="4" max="4" width="16.83203125" customWidth="1"/>
    <col min="5" max="5" width="18.83203125" customWidth="1"/>
    <col min="6" max="6" width="27.83203125" customWidth="1"/>
    <col min="7" max="7" width="21.83203125" customWidth="1"/>
  </cols>
  <sheetData>
    <row r="1" ht="28" customHeight="1">
      <c r="A1" s="13" t="str">
        <v>Supplier Name</v>
      </c>
      <c r="B1" s="13" t="str">
        <v>Email Address</v>
      </c>
      <c r="C1" s="13" t="str">
        <v>Phone Number</v>
      </c>
      <c r="D1" s="13" t="str">
        <v>Address</v>
      </c>
      <c r="E1" s="13" t="str">
        <v>Credit Terms</v>
      </c>
      <c r="F1" s="13" t="str">
        <v>Payable Balance (Rs.)</v>
      </c>
      <c r="G1" s="13" t="str">
        <v>Registered Date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6.83203125" customWidth="1"/>
    <col min="2" max="2" width="19.83203125" customWidth="1"/>
    <col min="3" max="3" width="16.83203125" customWidth="1"/>
    <col min="4" max="4" width="24.83203125" customWidth="1"/>
    <col min="5" max="5" width="16.83203125" customWidth="1"/>
    <col min="6" max="6" width="16.83203125" customWidth="1"/>
    <col min="7" max="7" width="18.83203125" customWidth="1"/>
  </cols>
  <sheetData>
    <row r="1" ht="28" customHeight="1">
      <c r="A1" s="13" t="str">
        <v>PO Number</v>
      </c>
      <c r="B1" s="13" t="str">
        <v>Supplier Name</v>
      </c>
      <c r="C1" s="13" t="str">
        <v>PO Items</v>
      </c>
      <c r="D1" s="13" t="str">
        <v>Total Amount (Rs.)</v>
      </c>
      <c r="E1" s="13" t="str">
        <v>PO Status</v>
      </c>
      <c r="F1" s="13" t="str">
        <v>Due Date</v>
      </c>
      <c r="G1" s="13" t="str">
        <v>Created Date</v>
      </c>
    </row>
  </sheetData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1.83203125" customWidth="1"/>
    <col min="5" max="5" width="20.83203125" customWidth="1"/>
    <col min="6" max="6" width="17.83203125" customWidth="1"/>
    <col min="7" max="7" width="16.83203125" customWidth="1"/>
  </cols>
  <sheetData>
    <row r="1" ht="28" customHeight="1">
      <c r="A1" s="13" t="str">
        <v>Product Name</v>
      </c>
      <c r="B1" s="13" t="str">
        <v>Old Quantity</v>
      </c>
      <c r="C1" s="13" t="str">
        <v>New Quantity</v>
      </c>
      <c r="D1" s="13" t="str">
        <v>Adjustment Type</v>
      </c>
      <c r="E1" s="13" t="str">
        <v>Reason Details</v>
      </c>
      <c r="F1" s="13" t="str">
        <v>Staff Email</v>
      </c>
      <c r="G1" s="13" t="str">
        <v>Timestamp</v>
      </c>
    </row>
  </sheetData>
  <ignoredErrors>
    <ignoredError numberStoredAsText="1" sqref="A1:G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2.83203125" customWidth="1"/>
    <col min="2" max="2" width="19.83203125" customWidth="1"/>
    <col min="3" max="3" width="24.83203125" customWidth="1"/>
    <col min="4" max="4" width="18.83203125" customWidth="1"/>
  </cols>
  <sheetData>
    <row r="1" ht="28" customHeight="1">
      <c r="A1" s="13" t="str">
        <v>Quotation Number</v>
      </c>
      <c r="B1" s="13" t="str">
        <v>Customer Name</v>
      </c>
      <c r="C1" s="13" t="str">
        <v>Total Amount (Rs.)</v>
      </c>
      <c r="D1" s="13" t="str">
        <v>Created Date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6.83203125" customWidth="1"/>
    <col min="2" max="2" width="21.83203125" customWidth="1"/>
    <col min="3" max="3" width="16.83203125" customWidth="1"/>
    <col min="4" max="4" width="19.83203125" customWidth="1"/>
    <col min="5" max="5" width="18.83203125" customWidth="1"/>
    <col min="6" max="6" width="18.83203125" customWidth="1"/>
    <col min="7" max="7" width="19.83203125" customWidth="1"/>
    <col min="8" max="8" width="31.83203125" customWidth="1"/>
    <col min="9" max="9" width="21.83203125" customWidth="1"/>
  </cols>
  <sheetData>
    <row r="1" ht="28" customHeight="1">
      <c r="A1" s="13" t="str">
        <v>Full Name</v>
      </c>
      <c r="B1" s="13" t="str">
        <v>Designated Role</v>
      </c>
      <c r="C1" s="13" t="str">
        <v>Department</v>
      </c>
      <c r="D1" s="13" t="str">
        <v>Email Address</v>
      </c>
      <c r="E1" s="13" t="str">
        <v>Phone Number</v>
      </c>
      <c r="F1" s="13" t="str">
        <v>Salary (Rs.)</v>
      </c>
      <c r="G1" s="13" t="str">
        <v>Active Status</v>
      </c>
      <c r="H1" s="13" t="str">
        <v>Attendance Percentage (%)</v>
      </c>
      <c r="I1" s="13" t="str">
        <v>Date of Joining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29.83203125" customWidth="1"/>
    <col min="3" max="3" width="28.83203125" customWidth="1"/>
    <col min="4" max="4" width="18.83203125" customWidth="1"/>
  </cols>
  <sheetData>
    <row r="1" ht="28" customHeight="1">
      <c r="A1" s="13" t="str">
        <v>User Full Name</v>
      </c>
      <c r="B1" s="13" t="str">
        <v>User Email</v>
      </c>
      <c r="C1" s="13" t="str">
        <v>Access Privilege Level</v>
      </c>
      <c r="D1" s="13" t="str">
        <v>Created Date</v>
      </c>
    </row>
    <row r="2" ht="22" customHeight="1">
      <c r="A2" s="16" t="str">
        <v>Sanoj Hardware</v>
      </c>
      <c r="B2" s="16" t="str">
        <v>sanojhardware@gmail.com</v>
      </c>
      <c r="C2" s="16" t="str">
        <v>SUPER_ADMIN</v>
      </c>
      <c r="D2" s="17">
        <v>46244</v>
      </c>
    </row>
  </sheetData>
  <ignoredErrors>
    <ignoredError numberStoredAsText="1" sqref="A1:D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6.83203125" customWidth="1"/>
    <col min="2" max="2" width="37.83203125" customWidth="1"/>
    <col min="3" max="3" width="19.83203125" customWidth="1"/>
    <col min="4" max="4" width="29.83203125" customWidth="1"/>
    <col min="5" max="5" width="16.83203125" customWidth="1"/>
    <col min="6" max="6" width="18.83203125" customWidth="1"/>
    <col min="7" max="7" width="29.83203125" customWidth="1"/>
    <col min="8" max="8" width="24.83203125" customWidth="1"/>
    <col min="9" max="9" width="22.83203125" customWidth="1"/>
  </cols>
  <sheetData>
    <row r="1" ht="28" customHeight="1">
      <c r="A1" s="13" t="str">
        <v>Shop Name</v>
      </c>
      <c r="B1" s="13" t="str">
        <v>Address</v>
      </c>
      <c r="C1" s="13" t="str">
        <v>Phone</v>
      </c>
      <c r="D1" s="13" t="str">
        <v>Email</v>
      </c>
      <c r="E1" s="13" t="str">
        <v>Currency</v>
      </c>
      <c r="F1" s="13" t="str">
        <v>Tax Rate (%)</v>
      </c>
      <c r="G1" s="13" t="str">
        <v>Backup Email</v>
      </c>
      <c r="H1" s="13" t="str">
        <v>Weekly Auto-Backup</v>
      </c>
      <c r="I1" s="13" t="str">
        <v>Last Synced Time</v>
      </c>
    </row>
    <row r="2" ht="22" customHeight="1">
      <c r="A2" s="16" t="str">
        <v>MUTHUWADIGE HARDWARE</v>
      </c>
      <c r="B2" s="16" t="str">
        <v>No: 80, Mahahunupitiya, Negombo</v>
      </c>
      <c r="C2" s="16" t="str">
        <v>077 076 076 7</v>
      </c>
      <c r="D2" s="16" t="str">
        <v>sanojhardware@gmail.com</v>
      </c>
      <c r="E2" s="16" t="str">
        <v>LKR</v>
      </c>
      <c r="F2" s="18">
        <v>0</v>
      </c>
      <c r="G2" s="16" t="str">
        <v>sanojhardware@gmail.com</v>
      </c>
      <c r="H2" s="16" t="str">
        <v>DISABLED</v>
      </c>
      <c r="I2" s="17">
        <v>46237</v>
      </c>
    </row>
  </sheetData>
  <ignoredErrors>
    <ignoredError numberStoredAsText="1" sqref="A1:I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8.83203125" customWidth="1"/>
    <col min="5" max="5" width="18.83203125" customWidth="1"/>
  </cols>
  <sheetData>
    <row r="1" ht="28" customHeight="1">
      <c r="A1" s="13" t="str">
        <v>Branch Name</v>
      </c>
      <c r="B1" s="13" t="str">
        <v>Branch Code</v>
      </c>
      <c r="C1" s="13" t="str">
        <v>Address</v>
      </c>
      <c r="D1" s="13" t="str">
        <v>Phone Number</v>
      </c>
      <c r="E1" s="13" t="str">
        <v>Created Date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Inventory Stock</vt:lpstr>
      <vt:lpstr>Sales &amp; Invoices</vt:lpstr>
      <vt:lpstr>Credit Customers</vt:lpstr>
      <vt:lpstr>Sales Returns</vt:lpstr>
      <vt:lpstr>Accounting Ledger</vt:lpstr>
      <vt:lpstr>Customers</vt:lpstr>
      <vt:lpstr>Suppliers Directory</vt:lpstr>
      <vt:lpstr>Purchase Orders</vt:lpstr>
      <vt:lpstr>Stock Adjustments</vt:lpstr>
      <vt:lpstr>Quotations</vt:lpstr>
      <vt:lpstr>Employees</vt:lpstr>
      <vt:lpstr>User Profiles</vt:lpstr>
      <vt:lpstr>System Settings</vt:lpstr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